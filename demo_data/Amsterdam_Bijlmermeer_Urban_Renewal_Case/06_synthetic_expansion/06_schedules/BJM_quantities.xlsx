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23827ce2c546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antities" sheetId="1" r:id="Re6da666af1f9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.00"/>
  </x:numFmts>
  <x:fonts count="6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0"/>
      <x:color rgb="FF666666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263D5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ac5cd176d4393" /><Relationship Type="http://schemas.openxmlformats.org/officeDocument/2006/relationships/theme" Target="/xl/theme/theme1.xml" Id="Rfab9ae0804904f30" /><Relationship Type="http://schemas.openxmlformats.org/officeDocument/2006/relationships/sharedStrings" Target="/xl/sharedStrings.xml" Id="Rf42113ed158f4726" /><Relationship Type="http://schemas.openxmlformats.org/officeDocument/2006/relationships/worksheet" Target="/xl/worksheets/sheet1.xml" Id="Re6da666af1f9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27.219999313354492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Courtyard quantities and allowances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SYNTHETIC DEMO - fabricated scenario inputs, not a tender or approved programme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11" t="str">
        <x:v>Item</x:v>
      </x:c>
      <x:c r="B5" s="11" t="str">
        <x:v>Description</x:v>
      </x:c>
      <x:c r="C5" s="11" t="str">
        <x:v>Unit</x:v>
      </x:c>
      <x:c r="D5" s="11" t="str">
        <x:v>Quantity</x:v>
      </x:c>
      <x:c r="E5" s="11" t="str">
        <x:v>EUR per unit</x:v>
      </x:c>
      <x:c r="F5" s="11" t="str">
        <x:v>Amount EUR</x:v>
      </x:c>
      <x:c r="G5" s="1"/>
      <x:c r="H5" s="1"/>
      <x:c r="I5" s="1"/>
      <x:c r="J5" s="1"/>
    </x:row>
    <x:row r="6" ht="27" customHeight="1">
      <x:c r="A6" s="1" t="str">
        <x:v>Q01</x:v>
      </x:c>
      <x:c r="B6" s="1" t="str">
        <x:v>Clay paving</x:v>
      </x:c>
      <x:c r="C6" s="1" t="str">
        <x:v>m2</x:v>
      </x:c>
      <x:c r="D6" s="5" t="n">
        <x:v>840</x:v>
      </x:c>
      <x:c r="E6" s="7" t="n">
        <x:v>95</x:v>
      </x:c>
      <x:c r="F6" s="8" t="n">
        <x:f>D6*E6</x:f>
        <x:v>79800</x:v>
      </x:c>
      <x:c r="G6" s="1"/>
      <x:c r="H6" s="1"/>
      <x:c r="I6" s="1"/>
      <x:c r="J6" s="1"/>
    </x:row>
    <x:row r="7" ht="27" customHeight="1">
      <x:c r="A7" s="1" t="str">
        <x:v>Q02</x:v>
      </x:c>
      <x:c r="B7" s="1" t="str">
        <x:v>Timber bench</x:v>
      </x:c>
      <x:c r="C7" s="1" t="str">
        <x:v>each</x:v>
      </x:c>
      <x:c r="D7" s="5" t="n">
        <x:v>18</x:v>
      </x:c>
      <x:c r="E7" s="7" t="n">
        <x:v>1250</x:v>
      </x:c>
      <x:c r="F7" s="8" t="n">
        <x:f>D7*E7</x:f>
        <x:v>22500</x:v>
      </x:c>
      <x:c r="G7" s="1"/>
      <x:c r="H7" s="1"/>
      <x:c r="I7" s="1"/>
      <x:c r="J7" s="1"/>
    </x:row>
    <x:row r="8" ht="27" customHeight="1">
      <x:c r="A8" s="1" t="str">
        <x:v>Q03</x:v>
      </x:c>
      <x:c r="B8" s="1" t="str">
        <x:v>Tree planting</x:v>
      </x:c>
      <x:c r="C8" s="1" t="str">
        <x:v>each</x:v>
      </x:c>
      <x:c r="D8" s="5" t="n">
        <x:v>55</x:v>
      </x:c>
      <x:c r="E8" s="7" t="n">
        <x:v>580</x:v>
      </x:c>
      <x:c r="F8" s="8" t="n">
        <x:f>D8*E8</x:f>
        <x:v>31900</x:v>
      </x:c>
      <x:c r="G8" s="1"/>
      <x:c r="H8" s="1"/>
      <x:c r="I8" s="1"/>
      <x:c r="J8" s="1"/>
    </x:row>
    <x:row r="9" ht="27" customHeight="1">
      <x:c r="A9" s="1" t="str">
        <x:v>Q04</x:v>
      </x:c>
      <x:c r="B9" s="1" t="str">
        <x:v>Rain garden</x:v>
      </x:c>
      <x:c r="C9" s="1" t="str">
        <x:v>m2</x:v>
      </x:c>
      <x:c r="D9" s="5" t="n">
        <x:v>360</x:v>
      </x:c>
      <x:c r="E9" s="7" t="n">
        <x:v>72</x:v>
      </x:c>
      <x:c r="F9" s="8" t="n">
        <x:f>D9*E9</x:f>
        <x:v>25920</x:v>
      </x:c>
      <x:c r="G9" s="1"/>
      <x:c r="H9" s="1"/>
      <x:c r="I9" s="1"/>
      <x:c r="J9" s="1"/>
    </x:row>
    <x:row r="10" ht="27" customHeight="1">
      <x:c r="A10" s="1" t="str">
        <x:v>Q05</x:v>
      </x:c>
      <x:c r="B10" s="1" t="str">
        <x:v>Cycle stand</x:v>
      </x:c>
      <x:c r="C10" s="1" t="str">
        <x:v>each</x:v>
      </x:c>
      <x:c r="D10" s="5" t="n">
        <x:v>48</x:v>
      </x:c>
      <x:c r="E10" s="7" t="n">
        <x:v>240</x:v>
      </x:c>
      <x:c r="F10" s="8" t="n">
        <x:f>D10*E10</x:f>
        <x:v>11520</x:v>
      </x:c>
      <x:c r="G10" s="1"/>
      <x:c r="H10" s="1"/>
      <x:c r="I10" s="1"/>
      <x:c r="J10" s="1"/>
    </x:row>
    <x:row r="11" ht="27" customHeight="1">
      <x:c r="A11" s="1" t="str">
        <x:v>Q06</x:v>
      </x:c>
      <x:c r="B11" s="1" t="str">
        <x:v>Lighting column</x:v>
      </x:c>
      <x:c r="C11" s="1" t="str">
        <x:v>each</x:v>
      </x:c>
      <x:c r="D11" s="5" t="n">
        <x:v>16</x:v>
      </x:c>
      <x:c r="E11" s="7" t="n">
        <x:v>1650</x:v>
      </x:c>
      <x:c r="F11" s="8" t="n">
        <x:f>D11*E11</x:f>
        <x:v>26400</x:v>
      </x:c>
      <x:c r="G11" s="1"/>
      <x:c r="H11" s="1"/>
      <x:c r="I11" s="1"/>
      <x:c r="J11" s="1"/>
    </x:row>
    <x:row r="12" ht="27" customHeight="1">
      <x:c r="A12" s="1" t="str">
        <x:v>Q07</x:v>
      </x:c>
      <x:c r="B12" s="1" t="str">
        <x:v>Mineral plinth</x:v>
      </x:c>
      <x:c r="C12" s="1" t="str">
        <x:v>m2</x:v>
      </x:c>
      <x:c r="D12" s="5" t="n">
        <x:v>120</x:v>
      </x:c>
      <x:c r="E12" s="7" t="n">
        <x:v>145</x:v>
      </x:c>
      <x:c r="F12" s="8" t="n">
        <x:f>D12*E12</x:f>
        <x:v>17400</x:v>
      </x:c>
      <x:c r="G12" s="1"/>
      <x:c r="H12" s="1"/>
      <x:c r="I12" s="1"/>
      <x:c r="J12" s="1"/>
    </x:row>
    <x:row r="13" ht="27" customHeight="1">
      <x:c r="A13" s="1" t="str">
        <x:v>Q08</x:v>
      </x:c>
      <x:c r="B13" s="1" t="str">
        <x:v>Wayfinding sign</x:v>
      </x:c>
      <x:c r="C13" s="1" t="str">
        <x:v>each</x:v>
      </x:c>
      <x:c r="D13" s="5" t="n">
        <x:v>8</x:v>
      </x:c>
      <x:c r="E13" s="7" t="n">
        <x:v>680</x:v>
      </x:c>
      <x:c r="F13" s="8" t="n">
        <x:f>D13*E13</x:f>
        <x:v>5440</x:v>
      </x:c>
      <x:c r="G13" s="1"/>
      <x:c r="H13" s="1"/>
      <x:c r="I13" s="1"/>
      <x:c r="J13" s="1"/>
    </x:row>
    <x:row r="14">
      <x:c r="A14" s="1"/>
      <x:c r="B14" s="1"/>
      <x:c r="C14" s="1"/>
      <x:c r="D14" s="1"/>
      <x:c r="E14" s="8"/>
      <x:c r="F14" s="8"/>
      <x:c r="G14" s="1"/>
      <x:c r="H14" s="1"/>
      <x:c r="I14" s="1"/>
      <x:c r="J14" s="1"/>
    </x:row>
    <x:row r="15">
      <x:c r="A15" s="1"/>
      <x:c r="B15" s="1"/>
      <x:c r="C15" s="1"/>
      <x:c r="D15" s="1"/>
      <x:c r="E15" s="8" t="str">
        <x:v>Subtotal</x:v>
      </x:c>
      <x:c r="F15" s="8" t="n">
        <x:f>SUM(F6:F13)</x:f>
        <x:v>220880</x:v>
      </x:c>
      <x:c r="G15" s="1"/>
      <x:c r="H15" s="1"/>
      <x:c r="I15" s="1"/>
      <x:c r="J15" s="1"/>
    </x:row>
    <x:row r="16">
      <x:c r="A16" s="1"/>
      <x:c r="B16" s="1"/>
      <x:c r="C16" s="1"/>
      <x:c r="D16" s="6" t="n">
        <x:v>0.1</x:v>
      </x:c>
      <x:c r="E16" s="8" t="str">
        <x:v>Contingency</x:v>
      </x:c>
      <x:c r="F16" s="8" t="n">
        <x:f>F15*D16</x:f>
        <x:v>22088</x:v>
      </x:c>
      <x:c r="G16" s="1"/>
      <x:c r="H16" s="1"/>
      <x:c r="I16" s="1"/>
      <x:c r="J16" s="1"/>
    </x:row>
    <x:row r="17">
      <x:c r="A17" s="1"/>
      <x:c r="B17" s="1"/>
      <x:c r="C17" s="1"/>
      <x:c r="D17" s="1"/>
      <x:c r="E17" s="9" t="str">
        <x:v>Total excl tax</x:v>
      </x:c>
      <x:c r="F17" s="9" t="n">
        <x:f>F15+F16</x:f>
        <x:v>242968</x:v>
      </x:c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 t="str">
        <x:v>Blue figures are editable assumptions. Amounts exclude tax. No real supplier quotes are used.</x:v>
      </x:c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</x:sheetData>
  <x:pageMargins left="0.7" right="0.7" top="0.75" bottom="0.75" header="0.3" footer="0.3"/>
</x:worksheet>
</file>